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OneDrive\Desktop\Data Analyst\Assignments\Logical Functions &amp; Lookup\"/>
    </mc:Choice>
  </mc:AlternateContent>
  <xr:revisionPtr revIDLastSave="0" documentId="8_{C4C27A80-EA2B-42D1-8603-80010B96A2AD}" xr6:coauthVersionLast="47" xr6:coauthVersionMax="47" xr10:uidLastSave="{00000000-0000-0000-0000-000000000000}"/>
  <bookViews>
    <workbookView xWindow="-110" yWindow="-110" windowWidth="19420" windowHeight="10300" xr2:uid="{F00E5F5A-3A69-4DFC-AAE1-2FFF0B1D947D}"/>
  </bookViews>
  <sheets>
    <sheet name="Ans. 1" sheetId="1" r:id="rId1"/>
    <sheet name="Ans.2" sheetId="2" r:id="rId2"/>
    <sheet name="Ans.3" sheetId="3" r:id="rId3"/>
    <sheet name="Ans.4" sheetId="4" r:id="rId4"/>
    <sheet name="Ans.5" sheetId="5" r:id="rId5"/>
    <sheet name="Ans.6" sheetId="6" r:id="rId6"/>
    <sheet name="Ans. 7" sheetId="7" r:id="rId7"/>
    <sheet name="Ans. 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8" l="1"/>
  <c r="D2" i="5"/>
  <c r="C2" i="7"/>
  <c r="D3" i="6"/>
  <c r="D4" i="6"/>
  <c r="D2" i="6"/>
  <c r="D3" i="4"/>
  <c r="D4" i="4"/>
  <c r="D5" i="4"/>
  <c r="D2" i="4"/>
  <c r="C3" i="3"/>
  <c r="C4" i="3"/>
  <c r="C5" i="3"/>
  <c r="C6" i="3"/>
  <c r="C2" i="3"/>
  <c r="D3" i="2"/>
  <c r="D4" i="2"/>
  <c r="D5" i="2"/>
  <c r="D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<sst xmlns="http://schemas.openxmlformats.org/spreadsheetml/2006/main" count="69" uniqueCount="53">
  <si>
    <t xml:space="preserve">Student Name </t>
  </si>
  <si>
    <t>Marks</t>
  </si>
  <si>
    <t>Riya</t>
  </si>
  <si>
    <t xml:space="preserve">Siya </t>
  </si>
  <si>
    <t>Raju</t>
  </si>
  <si>
    <t xml:space="preserve">Rahul </t>
  </si>
  <si>
    <t>Ram</t>
  </si>
  <si>
    <t>Formula</t>
  </si>
  <si>
    <t>Employee</t>
  </si>
  <si>
    <t>Sales</t>
  </si>
  <si>
    <t>Attendance</t>
  </si>
  <si>
    <t>Arjun</t>
  </si>
  <si>
    <t>Simran</t>
  </si>
  <si>
    <t>Rohit</t>
  </si>
  <si>
    <t>Anjali</t>
  </si>
  <si>
    <t>Student Name</t>
  </si>
  <si>
    <t>Raj</t>
  </si>
  <si>
    <t>Neha</t>
  </si>
  <si>
    <t>Vivek</t>
  </si>
  <si>
    <t>Rani</t>
  </si>
  <si>
    <t>Sneha</t>
  </si>
  <si>
    <t>Emp.Id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</si>
  <si>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</si>
  <si>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</si>
  <si>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</si>
  <si>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</si>
  <si>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</si>
  <si>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</si>
  <si>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</si>
  <si>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</si>
  <si>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</si>
  <si>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</si>
  <si>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</si>
  <si>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Sales Amount</t>
  </si>
  <si>
    <t>Commission Rate</t>
  </si>
  <si>
    <t xml:space="preserve">Employee Name </t>
  </si>
  <si>
    <t>Leaves Taken</t>
  </si>
  <si>
    <t>Leaves Allowed</t>
  </si>
  <si>
    <t>Alex</t>
  </si>
  <si>
    <t>Bob</t>
  </si>
  <si>
    <t>Anna</t>
  </si>
  <si>
    <t>Emp ID</t>
  </si>
  <si>
    <t>Salary</t>
  </si>
  <si>
    <t>E303</t>
  </si>
  <si>
    <t>E106</t>
  </si>
  <si>
    <t>E301</t>
  </si>
  <si>
    <t>E105</t>
  </si>
  <si>
    <t>E302</t>
  </si>
  <si>
    <t>Salary of E105</t>
  </si>
  <si>
    <t>EmpID</t>
  </si>
  <si>
    <t>Emp ID = E303</t>
  </si>
  <si>
    <t>Xlookup is not working in my excel sheet as it is older version hence I applied Vlookup.</t>
  </si>
  <si>
    <t>Commission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</si>
</sst>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B138-575E-430F-A043-2FF534D5E03E}">
  <dimension ref="A1:C6"/>
  <sheetViews>
    <sheetView tabSelected="1" workbookViewId="0">
      <selection activeCell="E1" sqref="E1"/>
    </sheetView>
  </sheetViews>
  <sheetFormatPr defaultRowHeight="14.5" x14ac:dyDescent="0.35"/>
  <cols>
    <col min="1" max="1" width="13.1796875" bestFit="1" customWidth="1"/>
  </cols>
  <sheetData>
    <row r="1" spans="1:3" x14ac:dyDescent="0.35">
      <c r="A1" s="1" t="s">
        <v>0</v>
      </c>
      <c r="B1" s="1" t="s">
        <v>1</v>
      </c>
      <c r="C1" s="1" t="s">
        <v>7</v>
      </c>
    </row>
    <row r="2" spans="1:3" x14ac:dyDescent="0.35">
      <c r="A2" t="s">
        <v>2</v>
      </c>
      <c r="B2">
        <v>45</v>
      </c>
      <c r="C2" t="str">
        <f>IF(B2&gt;=40,"Pass","Fail")</f>
        <v>Pass</v>
      </c>
    </row>
    <row r="3" spans="1:3" x14ac:dyDescent="0.35">
      <c r="A3" t="s">
        <v>3</v>
      </c>
      <c r="B3">
        <v>72</v>
      </c>
      <c r="C3" t="str">
        <f t="shared" ref="C3:C6" si="0">IF(B3&gt;=40,"Pass","Fail")</f>
        <v>Pass</v>
      </c>
    </row>
    <row r="4" spans="1:3" x14ac:dyDescent="0.35">
      <c r="A4" t="s">
        <v>4</v>
      </c>
      <c r="B4">
        <v>55</v>
      </c>
      <c r="C4" t="str">
        <f t="shared" si="0"/>
        <v>Pass</v>
      </c>
    </row>
    <row r="5" spans="1:3" x14ac:dyDescent="0.35">
      <c r="A5" t="s">
        <v>5</v>
      </c>
      <c r="B5">
        <v>80</v>
      </c>
      <c r="C5" t="str">
        <f t="shared" si="0"/>
        <v>Pass</v>
      </c>
    </row>
    <row r="6" spans="1:3" x14ac:dyDescent="0.35">
      <c r="A6" t="s">
        <v>6</v>
      </c>
      <c r="B6">
        <v>30</v>
      </c>
      <c r="C6" t="str">
        <f t="shared" si="0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8CDB-5898-416A-9AFA-6798BE220334}">
  <dimension ref="A1:D5"/>
  <sheetViews>
    <sheetView workbookViewId="0">
      <selection activeCell="C16" sqref="C16"/>
    </sheetView>
  </sheetViews>
  <sheetFormatPr defaultRowHeight="14.5" x14ac:dyDescent="0.35"/>
  <cols>
    <col min="1" max="1" width="13.36328125" bestFit="1" customWidth="1"/>
    <col min="2" max="2" width="6.08984375" bestFit="1" customWidth="1"/>
    <col min="3" max="3" width="10.36328125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7</v>
      </c>
    </row>
    <row r="2" spans="1:4" x14ac:dyDescent="0.35">
      <c r="A2" t="s">
        <v>11</v>
      </c>
      <c r="B2">
        <v>55000</v>
      </c>
      <c r="C2">
        <v>95</v>
      </c>
      <c r="D2" t="str">
        <f>IF(AND(B2&gt;40000,C2&gt;=90),"Bonus","No Bonus")</f>
        <v>Bonus</v>
      </c>
    </row>
    <row r="3" spans="1:4" x14ac:dyDescent="0.35">
      <c r="A3" t="s">
        <v>12</v>
      </c>
      <c r="B3">
        <v>65000</v>
      </c>
      <c r="C3">
        <v>85</v>
      </c>
      <c r="D3" t="str">
        <f t="shared" ref="D3:D5" si="0">IF(AND(B3&gt;40000,C3&gt;=90),"Bonus","No Bonus")</f>
        <v>No Bonus</v>
      </c>
    </row>
    <row r="4" spans="1:4" x14ac:dyDescent="0.35">
      <c r="A4" t="s">
        <v>13</v>
      </c>
      <c r="B4">
        <v>30000</v>
      </c>
      <c r="C4">
        <v>90</v>
      </c>
      <c r="D4" t="str">
        <f t="shared" si="0"/>
        <v>No Bonus</v>
      </c>
    </row>
    <row r="5" spans="1:4" x14ac:dyDescent="0.35">
      <c r="A5" t="s">
        <v>14</v>
      </c>
      <c r="B5">
        <v>25000</v>
      </c>
      <c r="C5">
        <v>65</v>
      </c>
      <c r="D5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1825-1A81-4A3C-B401-EAB17F04D779}">
  <dimension ref="A1:C6"/>
  <sheetViews>
    <sheetView workbookViewId="0">
      <selection activeCell="D14" sqref="D14"/>
    </sheetView>
  </sheetViews>
  <sheetFormatPr defaultRowHeight="14.5" x14ac:dyDescent="0.35"/>
  <cols>
    <col min="1" max="1" width="18.453125" bestFit="1" customWidth="1"/>
  </cols>
  <sheetData>
    <row r="1" spans="1:3" x14ac:dyDescent="0.35">
      <c r="A1" s="1" t="s">
        <v>15</v>
      </c>
      <c r="B1" s="1" t="s">
        <v>1</v>
      </c>
      <c r="C1" s="1" t="s">
        <v>7</v>
      </c>
    </row>
    <row r="2" spans="1:3" x14ac:dyDescent="0.35">
      <c r="A2" t="s">
        <v>16</v>
      </c>
      <c r="B2">
        <v>85</v>
      </c>
      <c r="C2" t="str">
        <f>IF(B2&gt;=90,"A",IF(B2&gt;=75,"B",IF(B2&gt;=50,"C","Fail")))</f>
        <v>B</v>
      </c>
    </row>
    <row r="3" spans="1:3" x14ac:dyDescent="0.35">
      <c r="A3" t="s">
        <v>17</v>
      </c>
      <c r="B3">
        <v>96</v>
      </c>
      <c r="C3" t="str">
        <f t="shared" ref="C3:C6" si="0">IF(B3&gt;=90,"A",IF(B3&gt;=75,"B",IF(B3&gt;=50,"C","Fail")))</f>
        <v>A</v>
      </c>
    </row>
    <row r="4" spans="1:3" x14ac:dyDescent="0.35">
      <c r="A4" t="s">
        <v>18</v>
      </c>
      <c r="B4">
        <v>57</v>
      </c>
      <c r="C4" t="str">
        <f t="shared" si="0"/>
        <v>C</v>
      </c>
    </row>
    <row r="5" spans="1:3" x14ac:dyDescent="0.35">
      <c r="A5" t="s">
        <v>19</v>
      </c>
      <c r="B5">
        <v>92</v>
      </c>
      <c r="C5" t="str">
        <f t="shared" si="0"/>
        <v>A</v>
      </c>
    </row>
    <row r="6" spans="1:3" x14ac:dyDescent="0.35">
      <c r="A6" t="s">
        <v>20</v>
      </c>
      <c r="B6">
        <v>75</v>
      </c>
      <c r="C6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DB89-9713-446E-8A6B-E30B20DDB675}">
  <dimension ref="A1:D5"/>
  <sheetViews>
    <sheetView workbookViewId="0">
      <selection activeCell="I9" sqref="I9"/>
    </sheetView>
  </sheetViews>
  <sheetFormatPr defaultRowHeight="14.5" x14ac:dyDescent="0.35"/>
  <sheetData>
    <row r="1" spans="1:4" x14ac:dyDescent="0.35">
      <c r="A1" s="1" t="s">
        <v>21</v>
      </c>
      <c r="B1" s="1" t="s">
        <v>22</v>
      </c>
      <c r="C1" s="1" t="s">
        <v>23</v>
      </c>
      <c r="D1" s="1" t="s">
        <v>7</v>
      </c>
    </row>
    <row r="2" spans="1:4" x14ac:dyDescent="0.35">
      <c r="A2" t="s">
        <v>24</v>
      </c>
      <c r="B2" t="s">
        <v>4</v>
      </c>
      <c r="C2" t="s">
        <v>30</v>
      </c>
      <c r="D2" t="str">
        <f>VLOOKUP(A2,A:C,3,0)</f>
        <v>IT</v>
      </c>
    </row>
    <row r="3" spans="1:4" x14ac:dyDescent="0.35">
      <c r="A3" t="s">
        <v>25</v>
      </c>
      <c r="B3" t="s">
        <v>2</v>
      </c>
      <c r="C3" t="s">
        <v>31</v>
      </c>
      <c r="D3" t="str">
        <f t="shared" ref="D3:D5" si="0">VLOOKUP(A3,A:C,3,0)</f>
        <v>HR</v>
      </c>
    </row>
    <row r="4" spans="1:4" x14ac:dyDescent="0.35">
      <c r="A4" t="s">
        <v>26</v>
      </c>
      <c r="B4" t="s">
        <v>28</v>
      </c>
      <c r="C4" t="s">
        <v>32</v>
      </c>
      <c r="D4" t="str">
        <f t="shared" si="0"/>
        <v>Finance</v>
      </c>
    </row>
    <row r="5" spans="1:4" x14ac:dyDescent="0.35">
      <c r="A5" t="s">
        <v>27</v>
      </c>
      <c r="B5" t="s">
        <v>29</v>
      </c>
      <c r="C5" t="s">
        <v>9</v>
      </c>
      <c r="D5" t="str">
        <f t="shared" si="0"/>
        <v>Sales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5437-68E0-4046-A0EF-65437C078442}">
  <dimension ref="A1:D5"/>
  <sheetViews>
    <sheetView workbookViewId="0">
      <selection activeCell="D2" sqref="D2"/>
    </sheetView>
  </sheetViews>
  <sheetFormatPr defaultRowHeight="14.5" x14ac:dyDescent="0.35"/>
  <cols>
    <col min="1" max="1" width="12.1796875" bestFit="1" customWidth="1"/>
    <col min="2" max="2" width="15.26953125" bestFit="1" customWidth="1"/>
    <col min="4" max="4" width="14.6328125" bestFit="1" customWidth="1"/>
  </cols>
  <sheetData>
    <row r="1" spans="1:4" x14ac:dyDescent="0.35">
      <c r="A1" t="s">
        <v>33</v>
      </c>
      <c r="B1" t="s">
        <v>34</v>
      </c>
      <c r="D1" t="s">
        <v>52</v>
      </c>
    </row>
    <row r="2" spans="1:4" x14ac:dyDescent="0.35">
      <c r="A2">
        <v>0</v>
      </c>
      <c r="B2" s="2">
        <v>0.05</v>
      </c>
      <c r="C2">
        <v>45000</v>
      </c>
      <c r="D2" s="3">
        <f>VLOOKUP($C$2,$A$2:$B$5,2,TRUE)</f>
        <v>0.1</v>
      </c>
    </row>
    <row r="3" spans="1:4" x14ac:dyDescent="0.35">
      <c r="A3">
        <v>20000</v>
      </c>
      <c r="B3" s="2">
        <v>0.1</v>
      </c>
      <c r="D3" s="3"/>
    </row>
    <row r="4" spans="1:4" x14ac:dyDescent="0.35">
      <c r="A4">
        <v>50000</v>
      </c>
      <c r="B4" s="2">
        <v>0.15</v>
      </c>
      <c r="D4" s="3"/>
    </row>
    <row r="5" spans="1:4" x14ac:dyDescent="0.35">
      <c r="A5">
        <v>80000</v>
      </c>
      <c r="B5" s="2">
        <v>0.2</v>
      </c>
      <c r="D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8384-DBFD-48DA-ADF6-76B7F70DEA12}">
  <dimension ref="A1:D4"/>
  <sheetViews>
    <sheetView workbookViewId="0">
      <selection activeCell="D3" sqref="D3"/>
    </sheetView>
  </sheetViews>
  <sheetFormatPr defaultRowHeight="14.5" x14ac:dyDescent="0.35"/>
  <cols>
    <col min="1" max="1" width="14.90625" bestFit="1" customWidth="1"/>
    <col min="2" max="2" width="11.81640625" bestFit="1" customWidth="1"/>
    <col min="3" max="3" width="13.6328125" bestFit="1" customWidth="1"/>
    <col min="4" max="4" width="7.7265625" bestFit="1" customWidth="1"/>
  </cols>
  <sheetData>
    <row r="1" spans="1:4" x14ac:dyDescent="0.35">
      <c r="A1" t="s">
        <v>35</v>
      </c>
      <c r="B1" t="s">
        <v>36</v>
      </c>
      <c r="C1" t="s">
        <v>37</v>
      </c>
      <c r="D1" t="s">
        <v>7</v>
      </c>
    </row>
    <row r="2" spans="1:4" x14ac:dyDescent="0.35">
      <c r="A2" t="s">
        <v>38</v>
      </c>
      <c r="B2">
        <v>10</v>
      </c>
      <c r="C2">
        <v>12</v>
      </c>
      <c r="D2" t="str">
        <f>IF(B2&gt;C2,"Exceeded","OK")</f>
        <v>OK</v>
      </c>
    </row>
    <row r="3" spans="1:4" x14ac:dyDescent="0.35">
      <c r="A3" t="s">
        <v>39</v>
      </c>
      <c r="B3">
        <v>10</v>
      </c>
      <c r="C3">
        <v>15</v>
      </c>
      <c r="D3" t="str">
        <f t="shared" ref="D3:D4" si="0">IF(B3&gt;C3,"Exceeded","OK")</f>
        <v>OK</v>
      </c>
    </row>
    <row r="4" spans="1:4" x14ac:dyDescent="0.35">
      <c r="A4" t="s">
        <v>40</v>
      </c>
      <c r="B4">
        <v>8</v>
      </c>
      <c r="C4">
        <v>12</v>
      </c>
      <c r="D4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B444-98FE-4F58-9289-43BFE08EE3CC}">
  <dimension ref="A1:C5"/>
  <sheetViews>
    <sheetView workbookViewId="0">
      <selection activeCell="C2" sqref="C2"/>
    </sheetView>
  </sheetViews>
  <sheetFormatPr defaultRowHeight="14.5" x14ac:dyDescent="0.35"/>
  <cols>
    <col min="3" max="3" width="12.453125" bestFit="1" customWidth="1"/>
  </cols>
  <sheetData>
    <row r="1" spans="1:3" x14ac:dyDescent="0.35">
      <c r="A1" t="s">
        <v>41</v>
      </c>
      <c r="B1" t="s">
        <v>42</v>
      </c>
      <c r="C1" t="s">
        <v>48</v>
      </c>
    </row>
    <row r="2" spans="1:3" x14ac:dyDescent="0.35">
      <c r="A2" t="s">
        <v>27</v>
      </c>
      <c r="B2">
        <v>55000</v>
      </c>
      <c r="C2">
        <f>INDEX(B2:B5,MATCH("E105",A2:A5,0))</f>
        <v>72000</v>
      </c>
    </row>
    <row r="3" spans="1:3" x14ac:dyDescent="0.35">
      <c r="A3" t="s">
        <v>46</v>
      </c>
      <c r="B3">
        <v>72000</v>
      </c>
    </row>
    <row r="4" spans="1:3" x14ac:dyDescent="0.35">
      <c r="A4" t="s">
        <v>44</v>
      </c>
      <c r="B4">
        <v>62000</v>
      </c>
    </row>
    <row r="5" spans="1:3" x14ac:dyDescent="0.35">
      <c r="A5" t="s">
        <v>47</v>
      </c>
      <c r="B5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4783-FD64-4AC2-97A4-F2ED744E49EC}">
  <dimension ref="A1:D5"/>
  <sheetViews>
    <sheetView workbookViewId="0">
      <selection activeCell="D6" sqref="D6"/>
    </sheetView>
  </sheetViews>
  <sheetFormatPr defaultRowHeight="14.5" x14ac:dyDescent="0.35"/>
  <cols>
    <col min="3" max="3" width="12.7265625" bestFit="1" customWidth="1"/>
  </cols>
  <sheetData>
    <row r="1" spans="1:4" x14ac:dyDescent="0.35">
      <c r="A1" t="s">
        <v>49</v>
      </c>
      <c r="B1" t="s">
        <v>42</v>
      </c>
      <c r="C1" t="s">
        <v>50</v>
      </c>
    </row>
    <row r="2" spans="1:4" x14ac:dyDescent="0.35">
      <c r="A2" t="s">
        <v>24</v>
      </c>
      <c r="B2" t="s">
        <v>31</v>
      </c>
      <c r="C2" t="str">
        <f>VLOOKUP("E303",A2:B5,2,FALSE)</f>
        <v>IT</v>
      </c>
      <c r="D2" t="s">
        <v>51</v>
      </c>
    </row>
    <row r="3" spans="1:4" x14ac:dyDescent="0.35">
      <c r="A3" t="s">
        <v>43</v>
      </c>
      <c r="B3" t="s">
        <v>30</v>
      </c>
    </row>
    <row r="4" spans="1:4" x14ac:dyDescent="0.35">
      <c r="A4" t="s">
        <v>44</v>
      </c>
      <c r="B4" t="s">
        <v>9</v>
      </c>
    </row>
    <row r="5" spans="1:4" x14ac:dyDescent="0.35">
      <c r="A5" t="s">
        <v>45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Ans. 1</vt:lpstr>
      <vt:lpstr>Ans.2</vt:lpstr>
      <vt:lpstr>Ans.3</vt:lpstr>
      <vt:lpstr>Ans.4</vt:lpstr>
      <vt:lpstr>Ans.5</vt:lpstr>
      <vt:lpstr>Ans.6</vt:lpstr>
      <vt:lpstr>Ans. 7</vt:lpstr>
      <vt:lpstr>Ans.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Bisht</dc:creator>
  <cp:lastModifiedBy>Nisha Bisht</cp:lastModifiedBy>
  <dcterms:created xsi:type="dcterms:W3CDTF">2026-02-22T06:20:44Z</dcterms:created>
  <dcterms:modified xsi:type="dcterms:W3CDTF">2026-02-22T07:33:43Z</dcterms:modified>
</cp:coreProperties>
</file>